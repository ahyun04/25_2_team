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케이스 번호, 카운트 용도</t>
      </text>
    </comment>
    <comment authorId="0" ref="B1">
      <text>
        <t xml:space="preserve">프로그램의 가장 큰단위로 나눌 수 있는 시스템 범주</t>
      </text>
    </comment>
    <comment authorId="0" ref="C1">
      <text>
        <t xml:space="preserve">모듈의 집합을 알기 쉽도록 명칭</t>
      </text>
    </comment>
    <comment authorId="0" ref="D1">
      <text>
        <t xml:space="preserve">모듈단위 분류</t>
      </text>
    </comment>
    <comment authorId="0" ref="E1">
      <text>
        <t xml:space="preserve">사용자가 케이스의 내용을 빠르게 파악할 수 있도록 요약함</t>
      </text>
    </comment>
    <comment authorId="0" ref="F1">
      <text>
        <t xml:space="preserve">실행방법 실행전 충족되야하는 조건</t>
      </text>
    </comment>
    <comment authorId="0" ref="G1">
      <text>
        <t xml:space="preserve">해당 케이스의 직접적인 실행 순서를 작성</t>
      </text>
    </comment>
    <comment authorId="0" ref="H1">
      <text>
        <t xml:space="preserve">실행 순서에 대해 기대되는 결과를 입력</t>
      </text>
    </comment>
    <comment authorId="0" ref="J1">
      <text>
        <t xml:space="preserve">실제로 실행 순서를 실행한 결과를 입력</t>
      </text>
    </comment>
  </commentList>
</comments>
</file>

<file path=xl/sharedStrings.xml><?xml version="1.0" encoding="utf-8"?>
<sst xmlns="http://schemas.openxmlformats.org/spreadsheetml/2006/main" count="109" uniqueCount="77">
  <si>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</si>
  <si>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</si>
  <si>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</si>
  <si>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</si>
  <si>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</si>
  <si>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</si>
  <si>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</si>
  <si>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</si>
  <si>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</si>
  <si>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</si>
  <si>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</si>
  <si>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</si>
  <si>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</si>
  <si>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유니티 플레이 버튼을 누른다</t>
  </si>
  <si>
    <t>실행 전 오류가 없을 것</t>
  </si>
  <si>
    <t>1. 메인 씬을 선택한다 
2. 메인 씬에서 플레이 버튼을 누른다</t>
  </si>
  <si>
    <t>메인 메뉴에서 게임이 시작된다</t>
  </si>
  <si>
    <t>Pass</t>
  </si>
  <si>
    <t>Pass: 테스트 성공</t>
  </si>
  <si>
    <t>Fail</t>
  </si>
  <si>
    <t>Fail: 테스트 실패</t>
  </si>
  <si>
    <t>Block</t>
  </si>
  <si>
    <t>Blcok: 상위테스트의 실패 등에 의해 테스트 실행할 수 없음</t>
  </si>
  <si>
    <t>N/A</t>
  </si>
  <si>
    <t>N/A: 환경등의 이유로 테스트 실행 불가능</t>
  </si>
  <si>
    <t>N/T</t>
  </si>
  <si>
    <t>N/T: 테스트 실행되지 않음</t>
  </si>
  <si>
    <t>메뉴기능</t>
  </si>
  <si>
    <t>게임메뉴</t>
  </si>
  <si>
    <t>메뉴 선택</t>
  </si>
  <si>
    <t>메인 메뉴에서 지역을 선택한다</t>
  </si>
  <si>
    <t>버튼이 있을 것</t>
  </si>
  <si>
    <t>1. 지역 버튼 클릭</t>
  </si>
  <si>
    <t>인게임 영역이 초기 설정 상태로 재설정</t>
  </si>
  <si>
    <t>미니게임</t>
  </si>
  <si>
    <t>1. 낚시 시작 버튼 클릭</t>
  </si>
  <si>
    <t>1. 낚시 미니게임이 초기 설정으로 재설정
2. 낚시 미니게임 생성</t>
  </si>
  <si>
    <t>1. 스페이스바를 눌러 미니게임 진행</t>
  </si>
  <si>
    <t xml:space="preserve">1. 노란 부분 밖에 화살표가 있을 때 스페이스바를 눌렀다면 실패
</t>
  </si>
  <si>
    <t>1. 실패시 낚시 시작 버튼 생성
2. 초기 설정으로 재설정</t>
  </si>
  <si>
    <t>1. 노란 부분 안에서 화살표가 있을 떄 스페이스바를 누르면 성공</t>
  </si>
  <si>
    <t>1. 낚시 미니게임을 진행하지 않고 놓침
2. 다시 낚시 하기 버튼 클릭</t>
  </si>
  <si>
    <t>낚시 미니게임이 재설정 및 생성되지 않고 낚시 시작 버튼이 없어짐</t>
  </si>
  <si>
    <t>1. 그물 낚시 미니게임을 진행하지 않고 놓침
2. 다시 낚시 하기 버튼 클릭</t>
  </si>
  <si>
    <t>1. 그물 낚시 미니게임이 초기 설정으로 재설정
2. 그물 낚시 미니게임 생성</t>
  </si>
  <si>
    <t>1. 통발 낚시 미니게임 버튼 클릭</t>
  </si>
  <si>
    <t>1. 통발의 대기 시간이 표시됨
2. 시간 종료 시 통발 결과가 생성됨</t>
  </si>
  <si>
    <t>지역 이동</t>
  </si>
  <si>
    <t>지역을 오갈 수 있을 것</t>
  </si>
  <si>
    <t>1. 지역 버튼 클릭
2. 낚시 씬으로 입장
3. 뒤로가기 버튼 클릭
4. 다른 낚시 씬으로 입장</t>
  </si>
  <si>
    <t>1. 입장한 낚시 씬에 맞는 맵 변경
2. 뒤로가기 버튼 클릭 후 맵 선택 화면 입장
3. 입장한 다른 낚시 씬에 맞는 맵 변경</t>
  </si>
  <si>
    <t>지역을 오갈 경우 낚시 미니게임 상태가 초기화 될 것</t>
  </si>
  <si>
    <t>1. 지역 버튼 클릭
2. 낚시 씬으로 입장
3. 낚시 시작 후 뒤로가기 버튼 클릭
4. 다른 낚시 씬으로 입장
5. 이전 맵에서 클릭한 낚시의 미니게임이 활성화되지 않을 것</t>
  </si>
  <si>
    <t>미니게임 영역이 초기 설정 상태로 재설정</t>
  </si>
  <si>
    <t>지역을 오갈 경우 그물 낚시 미니게임 상태가 초기화 될 것</t>
  </si>
  <si>
    <t>1. 지역 버튼 클릭
2. 낚시 씬으로 입장
3. 그물 낚시 시작 후 뒤로가기 버튼 클릭
4. 다른 낚시 씬으로 입장
5. 이전 맵에서 클릭한 그물 낚시의 미니게임이 활성화되지 않을 것</t>
  </si>
  <si>
    <t>지역을 오갈 경우 통발 낚시 미니게임 상태가 초기화 될 것</t>
  </si>
  <si>
    <t>1. 지역 버튼 클릭
2. 낚시 씬으로 입장
3. 통발 낚시 시작 후 뒤로가기 버튼 클릭
4. 다른 낚시 씬으로 입장
5. 이전 맵에서 클릭한 통발 낚시의 미니게임이 활성화되지 않을 것</t>
  </si>
  <si>
    <t>1. 맵 이동 후에도 여전히 통발의 대기 시간이 표시됨
2. 시간 종료 시 통발 결과가 생성됨</t>
  </si>
  <si>
    <t>카드 게임</t>
  </si>
  <si>
    <t>카드 게임 진행이 될 것</t>
  </si>
  <si>
    <t>1. 낚시 미니게임 진행 후 카드 게임 버튼 클릭
2. 카드 게임 씬으로 입장
3. AI 적 상대로 카드 게임 진행</t>
  </si>
  <si>
    <t>승리/패배 상황에 따라 각각 승리!/패배 결과 생성</t>
  </si>
  <si>
    <t>카드 게임 씬에서 뒤로가기 기능이 작동될 것</t>
  </si>
  <si>
    <t>1. 낚시 미니게임 진행 후 카드 게임 버튼 클릭
2. 카드 게임 씬으로 입장
3. 뒤로가기 버튼 클릭</t>
  </si>
  <si>
    <t>메뉴 화면으로 복귀</t>
  </si>
  <si>
    <t>뒤로가기 버튼이 생성되지 않음</t>
  </si>
  <si>
    <t>도움말 메뉴</t>
  </si>
  <si>
    <t>인게임기능</t>
  </si>
  <si>
    <t>HUD</t>
  </si>
  <si>
    <t>게임 기능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</si>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</sst>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9.0"/>
      <color theme="1"/>
      <name val="Verdana"/>
    </font>
    <font>
      <sz val="9.0"/>
      <color theme="1"/>
      <name val="Verdana"/>
    </font>
    <font>
      <color theme="1"/>
      <name val="Arial"/>
    </font>
    <font>
      <sz val="9.0"/>
      <color rgb="FF0000FF"/>
      <name val="Verdana"/>
    </font>
    <font>
      <color theme="1"/>
      <name val="Aptos Narrow"/>
    </font>
    <font/>
    <font>
      <sz val="9.0"/>
      <color rgb="FFFF0000"/>
      <name val="Verdana"/>
    </font>
    <font>
      <sz val="9.0"/>
      <color rgb="FF9900FF"/>
      <name val="Verdana"/>
    </font>
    <font>
      <sz val="9.0"/>
      <color rgb="FFFF9900"/>
      <name val="Verdana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3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3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/>
    </xf>
    <xf borderId="6" fillId="0" fontId="6" numFmtId="0" xfId="0" applyBorder="1" applyFont="1"/>
    <xf borderId="3" fillId="0" fontId="2" numFmtId="0" xfId="0" applyBorder="1" applyFont="1"/>
    <xf borderId="3" fillId="4" fontId="7" numFmtId="0" xfId="0" applyAlignment="1" applyBorder="1" applyFill="1" applyFont="1">
      <alignment horizontal="center"/>
    </xf>
    <xf borderId="7" fillId="0" fontId="6" numFmtId="0" xfId="0" applyBorder="1" applyFont="1"/>
    <xf borderId="3" fillId="5" fontId="8" numFmtId="0" xfId="0" applyAlignment="1" applyBorder="1" applyFill="1" applyFont="1">
      <alignment horizontal="center"/>
    </xf>
    <xf borderId="3" fillId="6" fontId="9" numFmtId="0" xfId="0" applyAlignment="1" applyBorder="1" applyFill="1" applyFont="1">
      <alignment horizontal="center"/>
    </xf>
    <xf borderId="3" fillId="7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3" fillId="8" fontId="4" numFmtId="0" xfId="0" applyAlignment="1" applyBorder="1" applyFill="1" applyFont="1">
      <alignment horizontal="center"/>
    </xf>
    <xf borderId="3" fillId="8" fontId="5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4" fillId="0" fontId="2" numFmtId="0" xfId="0" applyBorder="1" applyFont="1"/>
    <xf borderId="0" fillId="0" fontId="10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9" fontId="11" numFmtId="0" xfId="0" applyAlignment="1" applyBorder="1" applyFill="1" applyFont="1">
      <alignment vertical="bottom"/>
    </xf>
    <xf borderId="8" fillId="7" fontId="12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9" xfId="0" applyAlignment="1" applyFont="1" applyNumberFormat="1">
      <alignment horizontal="right" vertical="bottom"/>
    </xf>
    <xf borderId="8" fillId="3" fontId="12" numFmtId="9" xfId="0" applyAlignment="1" applyBorder="1" applyFont="1" applyNumberFormat="1">
      <alignment horizontal="right" vertical="bottom"/>
    </xf>
    <xf borderId="8" fillId="3" fontId="12" numFmtId="0" xfId="0" applyAlignment="1" applyBorder="1" applyFont="1">
      <alignment horizontal="right" vertical="bottom"/>
    </xf>
    <xf borderId="8" fillId="10" fontId="12" numFmtId="0" xfId="0" applyAlignment="1" applyBorder="1" applyFill="1" applyFont="1">
      <alignment vertical="bottom"/>
    </xf>
    <xf borderId="8" fillId="10" fontId="12" numFmtId="0" xfId="0" applyAlignment="1" applyBorder="1" applyFont="1">
      <alignment horizontal="right" vertical="bottom"/>
    </xf>
    <xf borderId="8" fillId="10" fontId="12" numFmtId="10" xfId="0" applyAlignment="1" applyBorder="1" applyFont="1" applyNumberFormat="1">
      <alignment horizontal="right" vertical="bottom"/>
    </xf>
    <xf borderId="8" fillId="3" fontId="5" numFmtId="0" xfId="0" applyAlignment="1" applyBorder="1" applyFont="1">
      <alignment vertical="bottom"/>
    </xf>
    <xf borderId="8" fillId="1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25"/>
    <col customWidth="1" min="6" max="6" width="37.5"/>
    <col customWidth="1" min="7" max="7" width="43.5"/>
    <col customWidth="1" min="8" max="8" width="35.5"/>
    <col customWidth="1" min="10" max="10" width="46.5"/>
    <col customWidth="1" min="11" max="11" width="46.88"/>
    <col customWidth="1" min="15" max="15" width="46.5"/>
    <col customWidth="1" min="16" max="16" width="11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>
      <c r="A2" s="3">
        <f t="shared" ref="A2:A44" si="1">ROW()-2</f>
        <v>0</v>
      </c>
      <c r="B2" s="4" t="s">
        <v>11</v>
      </c>
      <c r="C2" s="3" t="s">
        <v>12</v>
      </c>
      <c r="D2" s="3" t="s">
        <v>11</v>
      </c>
      <c r="E2" s="5" t="s">
        <v>13</v>
      </c>
      <c r="F2" s="6" t="s">
        <v>14</v>
      </c>
      <c r="G2" s="7" t="s">
        <v>15</v>
      </c>
      <c r="H2" s="7" t="s">
        <v>16</v>
      </c>
      <c r="I2" s="8" t="s">
        <v>17</v>
      </c>
      <c r="J2" s="9"/>
      <c r="K2" s="10" t="s">
        <v>18</v>
      </c>
      <c r="L2" s="11" t="str">
        <f t="shared" ref="L2:L22" si="2">IF(B2="",L1,B2)</f>
        <v>게임실행</v>
      </c>
      <c r="N2" s="8" t="s">
        <v>17</v>
      </c>
      <c r="O2" s="10" t="s">
        <v>18</v>
      </c>
    </row>
    <row r="3">
      <c r="A3" s="3">
        <f t="shared" si="1"/>
        <v>1</v>
      </c>
      <c r="B3" s="12"/>
      <c r="C3" s="4"/>
      <c r="D3" s="4"/>
      <c r="E3" s="13"/>
      <c r="F3" s="10"/>
      <c r="G3" s="10"/>
      <c r="H3" s="10"/>
      <c r="I3" s="10"/>
      <c r="J3" s="10"/>
      <c r="K3" s="10"/>
      <c r="L3" s="11" t="str">
        <f t="shared" si="2"/>
        <v>게임실행</v>
      </c>
      <c r="N3" s="14" t="s">
        <v>19</v>
      </c>
      <c r="O3" s="10" t="s">
        <v>20</v>
      </c>
    </row>
    <row r="4">
      <c r="A4" s="3">
        <f t="shared" si="1"/>
        <v>2</v>
      </c>
      <c r="B4" s="12"/>
      <c r="C4" s="12"/>
      <c r="D4" s="15"/>
      <c r="E4" s="13"/>
      <c r="F4" s="10"/>
      <c r="G4" s="10"/>
      <c r="H4" s="10"/>
      <c r="I4" s="10"/>
      <c r="J4" s="9"/>
      <c r="K4" s="10"/>
      <c r="L4" s="11" t="str">
        <f t="shared" si="2"/>
        <v>게임실행</v>
      </c>
      <c r="N4" s="16" t="s">
        <v>21</v>
      </c>
      <c r="O4" s="10" t="s">
        <v>22</v>
      </c>
    </row>
    <row r="5">
      <c r="A5" s="3">
        <f t="shared" si="1"/>
        <v>3</v>
      </c>
      <c r="B5" s="12"/>
      <c r="C5" s="12"/>
      <c r="D5" s="4"/>
      <c r="E5" s="13"/>
      <c r="F5" s="10"/>
      <c r="G5" s="10"/>
      <c r="H5" s="10"/>
      <c r="I5" s="10"/>
      <c r="J5" s="9"/>
      <c r="K5" s="10"/>
      <c r="L5" s="11" t="str">
        <f t="shared" si="2"/>
        <v>게임실행</v>
      </c>
      <c r="N5" s="17" t="s">
        <v>23</v>
      </c>
      <c r="O5" s="10" t="s">
        <v>24</v>
      </c>
    </row>
    <row r="6">
      <c r="A6" s="3">
        <f t="shared" si="1"/>
        <v>4</v>
      </c>
      <c r="B6" s="12"/>
      <c r="C6" s="12"/>
      <c r="D6" s="15"/>
      <c r="E6" s="13"/>
      <c r="F6" s="10"/>
      <c r="G6" s="10"/>
      <c r="H6" s="10"/>
      <c r="I6" s="10"/>
      <c r="J6" s="9"/>
      <c r="K6" s="10"/>
      <c r="L6" s="11" t="str">
        <f t="shared" si="2"/>
        <v>게임실행</v>
      </c>
      <c r="N6" s="18" t="s">
        <v>25</v>
      </c>
      <c r="O6" s="10" t="s">
        <v>26</v>
      </c>
    </row>
    <row r="7">
      <c r="A7" s="3">
        <f t="shared" si="1"/>
        <v>5</v>
      </c>
      <c r="B7" s="15"/>
      <c r="C7" s="15"/>
      <c r="D7" s="3"/>
      <c r="E7" s="13"/>
      <c r="F7" s="9"/>
      <c r="G7" s="10"/>
      <c r="H7" s="10"/>
      <c r="I7" s="8" t="s">
        <v>17</v>
      </c>
      <c r="J7" s="9"/>
      <c r="K7" s="9"/>
      <c r="L7" s="11" t="str">
        <f t="shared" si="2"/>
        <v>게임실행</v>
      </c>
    </row>
    <row r="8">
      <c r="A8" s="3">
        <f t="shared" si="1"/>
        <v>6</v>
      </c>
      <c r="B8" s="4" t="s">
        <v>27</v>
      </c>
      <c r="C8" s="4" t="s">
        <v>28</v>
      </c>
      <c r="D8" s="19" t="s">
        <v>29</v>
      </c>
      <c r="E8" s="5" t="s">
        <v>30</v>
      </c>
      <c r="F8" s="6" t="s">
        <v>31</v>
      </c>
      <c r="G8" s="7" t="s">
        <v>32</v>
      </c>
      <c r="H8" s="7" t="s">
        <v>33</v>
      </c>
      <c r="I8" s="8" t="s">
        <v>17</v>
      </c>
      <c r="J8" s="9"/>
      <c r="K8" s="10"/>
      <c r="L8" s="11" t="str">
        <f t="shared" si="2"/>
        <v>메뉴기능</v>
      </c>
    </row>
    <row r="9">
      <c r="A9" s="3">
        <f t="shared" si="1"/>
        <v>7</v>
      </c>
      <c r="B9" s="12"/>
      <c r="C9" s="12"/>
      <c r="D9" s="20" t="s">
        <v>34</v>
      </c>
      <c r="E9" s="13"/>
      <c r="F9" s="9"/>
      <c r="G9" s="7" t="s">
        <v>35</v>
      </c>
      <c r="H9" s="7" t="s">
        <v>36</v>
      </c>
      <c r="I9" s="8" t="s">
        <v>17</v>
      </c>
      <c r="J9" s="9"/>
      <c r="K9" s="9"/>
      <c r="L9" s="11" t="str">
        <f t="shared" si="2"/>
        <v>메뉴기능</v>
      </c>
    </row>
    <row r="10">
      <c r="A10" s="3">
        <f t="shared" si="1"/>
        <v>8</v>
      </c>
      <c r="B10" s="12"/>
      <c r="C10" s="12"/>
      <c r="D10" s="12"/>
      <c r="E10" s="13"/>
      <c r="F10" s="9"/>
      <c r="G10" s="7" t="s">
        <v>37</v>
      </c>
      <c r="H10" s="7"/>
      <c r="I10" s="8" t="s">
        <v>17</v>
      </c>
      <c r="J10" s="9"/>
      <c r="K10" s="9"/>
      <c r="L10" s="11" t="str">
        <f t="shared" si="2"/>
        <v>메뉴기능</v>
      </c>
    </row>
    <row r="11">
      <c r="A11" s="3">
        <f t="shared" si="1"/>
        <v>9</v>
      </c>
      <c r="B11" s="12"/>
      <c r="C11" s="12"/>
      <c r="D11" s="12"/>
      <c r="E11" s="13"/>
      <c r="F11" s="9"/>
      <c r="G11" s="7" t="s">
        <v>38</v>
      </c>
      <c r="H11" s="7" t="s">
        <v>39</v>
      </c>
      <c r="I11" s="8" t="s">
        <v>17</v>
      </c>
      <c r="J11" s="9"/>
      <c r="K11" s="9"/>
      <c r="L11" s="11" t="str">
        <f t="shared" si="2"/>
        <v>메뉴기능</v>
      </c>
    </row>
    <row r="12">
      <c r="A12" s="3">
        <f t="shared" si="1"/>
        <v>10</v>
      </c>
      <c r="B12" s="12"/>
      <c r="C12" s="12"/>
      <c r="D12" s="12"/>
      <c r="E12" s="13"/>
      <c r="F12" s="9"/>
      <c r="G12" s="7" t="s">
        <v>40</v>
      </c>
      <c r="H12" s="10"/>
      <c r="I12" s="8" t="s">
        <v>17</v>
      </c>
      <c r="J12" s="9"/>
      <c r="K12" s="9"/>
      <c r="L12" s="11" t="str">
        <f t="shared" si="2"/>
        <v>메뉴기능</v>
      </c>
    </row>
    <row r="13">
      <c r="A13" s="3">
        <f t="shared" si="1"/>
        <v>11</v>
      </c>
      <c r="B13" s="12"/>
      <c r="C13" s="12"/>
      <c r="D13" s="12"/>
      <c r="E13" s="13"/>
      <c r="F13" s="9"/>
      <c r="G13" s="7" t="s">
        <v>41</v>
      </c>
      <c r="H13" s="7" t="s">
        <v>36</v>
      </c>
      <c r="I13" s="14" t="s">
        <v>19</v>
      </c>
      <c r="J13" s="6" t="s">
        <v>42</v>
      </c>
      <c r="K13" s="10"/>
      <c r="L13" s="11" t="str">
        <f t="shared" si="2"/>
        <v>메뉴기능</v>
      </c>
    </row>
    <row r="14">
      <c r="A14" s="3">
        <f t="shared" si="1"/>
        <v>12</v>
      </c>
      <c r="B14" s="12"/>
      <c r="C14" s="12"/>
      <c r="D14" s="12"/>
      <c r="E14" s="13"/>
      <c r="F14" s="9"/>
      <c r="G14" s="7" t="s">
        <v>43</v>
      </c>
      <c r="H14" s="7" t="s">
        <v>44</v>
      </c>
      <c r="I14" s="8" t="s">
        <v>17</v>
      </c>
      <c r="J14" s="9"/>
      <c r="K14" s="9"/>
      <c r="L14" s="11" t="str">
        <f t="shared" si="2"/>
        <v>메뉴기능</v>
      </c>
    </row>
    <row r="15">
      <c r="A15" s="3">
        <f t="shared" si="1"/>
        <v>13</v>
      </c>
      <c r="B15" s="12"/>
      <c r="C15" s="12"/>
      <c r="D15" s="15"/>
      <c r="E15" s="13"/>
      <c r="F15" s="9"/>
      <c r="G15" s="7" t="s">
        <v>45</v>
      </c>
      <c r="H15" s="7" t="s">
        <v>46</v>
      </c>
      <c r="I15" s="8" t="s">
        <v>17</v>
      </c>
      <c r="J15" s="9"/>
      <c r="K15" s="9"/>
      <c r="L15" s="11" t="str">
        <f t="shared" si="2"/>
        <v>메뉴기능</v>
      </c>
    </row>
    <row r="16">
      <c r="A16" s="3">
        <f t="shared" si="1"/>
        <v>14</v>
      </c>
      <c r="B16" s="12"/>
      <c r="C16" s="12"/>
      <c r="D16" s="20" t="s">
        <v>47</v>
      </c>
      <c r="E16" s="13"/>
      <c r="F16" s="7" t="s">
        <v>48</v>
      </c>
      <c r="G16" s="7" t="s">
        <v>49</v>
      </c>
      <c r="H16" s="7" t="s">
        <v>50</v>
      </c>
      <c r="I16" s="8" t="s">
        <v>17</v>
      </c>
      <c r="J16" s="9"/>
      <c r="K16" s="9"/>
      <c r="L16" s="11" t="str">
        <f t="shared" si="2"/>
        <v>메뉴기능</v>
      </c>
    </row>
    <row r="17">
      <c r="A17" s="3">
        <f t="shared" si="1"/>
        <v>15</v>
      </c>
      <c r="B17" s="12"/>
      <c r="C17" s="12"/>
      <c r="D17" s="12"/>
      <c r="E17" s="13"/>
      <c r="F17" s="7" t="s">
        <v>51</v>
      </c>
      <c r="G17" s="7" t="s">
        <v>52</v>
      </c>
      <c r="H17" s="7" t="s">
        <v>53</v>
      </c>
      <c r="I17" s="8" t="s">
        <v>17</v>
      </c>
      <c r="J17" s="9"/>
      <c r="K17" s="9"/>
      <c r="L17" s="11" t="str">
        <f t="shared" si="2"/>
        <v>메뉴기능</v>
      </c>
    </row>
    <row r="18">
      <c r="A18" s="3">
        <f t="shared" si="1"/>
        <v>16</v>
      </c>
      <c r="B18" s="12"/>
      <c r="C18" s="12"/>
      <c r="D18" s="12"/>
      <c r="E18" s="13"/>
      <c r="F18" s="7" t="s">
        <v>54</v>
      </c>
      <c r="G18" s="7" t="s">
        <v>55</v>
      </c>
      <c r="H18" s="7" t="s">
        <v>53</v>
      </c>
      <c r="I18" s="8" t="s">
        <v>17</v>
      </c>
      <c r="J18" s="9"/>
      <c r="K18" s="9"/>
      <c r="L18" s="11" t="str">
        <f t="shared" si="2"/>
        <v>메뉴기능</v>
      </c>
    </row>
    <row r="19">
      <c r="A19" s="3">
        <f t="shared" si="1"/>
        <v>17</v>
      </c>
      <c r="B19" s="12"/>
      <c r="C19" s="12"/>
      <c r="D19" s="15"/>
      <c r="E19" s="13"/>
      <c r="F19" s="7" t="s">
        <v>56</v>
      </c>
      <c r="G19" s="7" t="s">
        <v>57</v>
      </c>
      <c r="H19" s="7" t="s">
        <v>53</v>
      </c>
      <c r="I19" s="14" t="s">
        <v>19</v>
      </c>
      <c r="J19" s="6" t="s">
        <v>58</v>
      </c>
      <c r="K19" s="9"/>
      <c r="L19" s="11" t="str">
        <f t="shared" si="2"/>
        <v>메뉴기능</v>
      </c>
    </row>
    <row r="20">
      <c r="A20" s="3">
        <f t="shared" si="1"/>
        <v>18</v>
      </c>
      <c r="B20" s="12"/>
      <c r="C20" s="12"/>
      <c r="D20" s="20" t="s">
        <v>59</v>
      </c>
      <c r="E20" s="13"/>
      <c r="F20" s="7" t="s">
        <v>60</v>
      </c>
      <c r="G20" s="7" t="s">
        <v>61</v>
      </c>
      <c r="H20" s="7" t="s">
        <v>62</v>
      </c>
      <c r="I20" s="8" t="s">
        <v>17</v>
      </c>
      <c r="J20" s="9"/>
      <c r="K20" s="9"/>
      <c r="L20" s="11" t="str">
        <f t="shared" si="2"/>
        <v>메뉴기능</v>
      </c>
    </row>
    <row r="21">
      <c r="A21" s="3">
        <f t="shared" si="1"/>
        <v>19</v>
      </c>
      <c r="B21" s="12"/>
      <c r="C21" s="12"/>
      <c r="D21" s="15"/>
      <c r="E21" s="13"/>
      <c r="F21" s="7" t="s">
        <v>63</v>
      </c>
      <c r="G21" s="7" t="s">
        <v>64</v>
      </c>
      <c r="H21" s="7" t="s">
        <v>65</v>
      </c>
      <c r="I21" s="18" t="s">
        <v>25</v>
      </c>
      <c r="J21" s="6" t="s">
        <v>66</v>
      </c>
      <c r="K21" s="9"/>
      <c r="L21" s="11" t="str">
        <f t="shared" si="2"/>
        <v>메뉴기능</v>
      </c>
    </row>
    <row r="22">
      <c r="A22" s="3">
        <f t="shared" si="1"/>
        <v>20</v>
      </c>
      <c r="B22" s="12"/>
      <c r="C22" s="12"/>
      <c r="D22" s="13"/>
      <c r="E22" s="9"/>
      <c r="F22" s="10"/>
      <c r="G22" s="10"/>
      <c r="H22" s="21"/>
      <c r="I22" s="22"/>
      <c r="J22" s="23"/>
      <c r="K22" s="3"/>
      <c r="L22" s="11" t="str">
        <f t="shared" si="2"/>
        <v>메뉴기능</v>
      </c>
    </row>
    <row r="23">
      <c r="A23" s="3">
        <f t="shared" si="1"/>
        <v>21</v>
      </c>
      <c r="B23" s="12"/>
      <c r="C23" s="12"/>
      <c r="D23" s="13"/>
      <c r="E23" s="10"/>
      <c r="F23" s="10"/>
      <c r="G23" s="10"/>
      <c r="H23" s="21"/>
      <c r="I23" s="22"/>
      <c r="J23" s="22"/>
      <c r="K23" s="3" t="str">
        <f>IF(B23="",J22,B23)</f>
        <v/>
      </c>
    </row>
    <row r="24">
      <c r="A24" s="3">
        <f t="shared" si="1"/>
        <v>22</v>
      </c>
      <c r="B24" s="12"/>
      <c r="C24" s="15"/>
      <c r="D24" s="3"/>
      <c r="E24" s="13"/>
      <c r="F24" s="9"/>
      <c r="G24" s="10"/>
      <c r="H24" s="10"/>
      <c r="I24" s="8" t="s">
        <v>17</v>
      </c>
      <c r="J24" s="9"/>
      <c r="K24" s="9"/>
      <c r="L24" s="11" t="str">
        <f>IF(B24="",K23,B24)</f>
        <v/>
      </c>
    </row>
    <row r="25">
      <c r="A25" s="3">
        <f t="shared" si="1"/>
        <v>23</v>
      </c>
      <c r="B25" s="12"/>
      <c r="C25" s="4" t="s">
        <v>67</v>
      </c>
      <c r="D25" s="3"/>
      <c r="E25" s="13"/>
      <c r="F25" s="9"/>
      <c r="G25" s="9"/>
      <c r="H25" s="9"/>
      <c r="I25" s="8"/>
      <c r="J25" s="9"/>
      <c r="K25" s="9"/>
      <c r="L25" s="11" t="str">
        <f t="shared" ref="L25:L28" si="3">IF(B25="",L24,B25)</f>
        <v/>
      </c>
    </row>
    <row r="26">
      <c r="A26" s="3">
        <f t="shared" si="1"/>
        <v>24</v>
      </c>
      <c r="B26" s="12"/>
      <c r="C26" s="12"/>
      <c r="D26" s="3"/>
      <c r="E26" s="13"/>
      <c r="F26" s="9"/>
      <c r="G26" s="9"/>
      <c r="H26" s="9"/>
      <c r="I26" s="8"/>
      <c r="J26" s="9"/>
      <c r="K26" s="9"/>
      <c r="L26" s="11" t="str">
        <f t="shared" si="3"/>
        <v/>
      </c>
    </row>
    <row r="27">
      <c r="A27" s="3">
        <f t="shared" si="1"/>
        <v>25</v>
      </c>
      <c r="B27" s="12"/>
      <c r="C27" s="12"/>
      <c r="D27" s="3"/>
      <c r="E27" s="13"/>
      <c r="F27" s="9"/>
      <c r="G27" s="9"/>
      <c r="H27" s="9"/>
      <c r="I27" s="8"/>
      <c r="J27" s="9"/>
      <c r="K27" s="9"/>
      <c r="L27" s="11" t="str">
        <f t="shared" si="3"/>
        <v/>
      </c>
    </row>
    <row r="28">
      <c r="A28" s="3">
        <f t="shared" si="1"/>
        <v>26</v>
      </c>
      <c r="B28" s="15"/>
      <c r="C28" s="15"/>
      <c r="D28" s="3"/>
      <c r="E28" s="13"/>
      <c r="F28" s="9"/>
      <c r="G28" s="10"/>
      <c r="H28" s="10"/>
      <c r="I28" s="8"/>
      <c r="J28" s="9"/>
      <c r="K28" s="9"/>
      <c r="L28" s="11" t="str">
        <f t="shared" si="3"/>
        <v/>
      </c>
    </row>
    <row r="29">
      <c r="A29" s="3">
        <f t="shared" si="1"/>
        <v>27</v>
      </c>
      <c r="B29" s="4" t="s">
        <v>68</v>
      </c>
      <c r="C29" s="4" t="s">
        <v>69</v>
      </c>
      <c r="D29" s="4"/>
      <c r="E29" s="13"/>
      <c r="F29" s="9"/>
      <c r="G29" s="10"/>
      <c r="H29" s="10"/>
      <c r="I29" s="8"/>
      <c r="J29" s="9"/>
      <c r="K29" s="9"/>
      <c r="L29" s="11"/>
    </row>
    <row r="30">
      <c r="A30" s="3">
        <f t="shared" si="1"/>
        <v>28</v>
      </c>
      <c r="B30" s="12"/>
      <c r="C30" s="12"/>
      <c r="D30" s="15"/>
      <c r="E30" s="13"/>
      <c r="F30" s="9"/>
      <c r="G30" s="10"/>
      <c r="H30" s="10"/>
      <c r="I30" s="8"/>
      <c r="J30" s="9"/>
      <c r="K30" s="9"/>
      <c r="L30" s="11"/>
    </row>
    <row r="31">
      <c r="A31" s="3">
        <f t="shared" si="1"/>
        <v>29</v>
      </c>
      <c r="B31" s="12"/>
      <c r="C31" s="12"/>
      <c r="D31" s="4"/>
      <c r="E31" s="13"/>
      <c r="F31" s="10"/>
      <c r="G31" s="10"/>
      <c r="H31" s="10"/>
      <c r="I31" s="8"/>
      <c r="J31" s="9"/>
      <c r="K31" s="9"/>
      <c r="L31" s="11"/>
    </row>
    <row r="32">
      <c r="A32" s="3">
        <f t="shared" si="1"/>
        <v>30</v>
      </c>
      <c r="B32" s="12"/>
      <c r="C32" s="12"/>
      <c r="D32" s="15"/>
      <c r="E32" s="13"/>
      <c r="F32" s="10"/>
      <c r="G32" s="10"/>
      <c r="H32" s="10"/>
      <c r="I32" s="8"/>
      <c r="J32" s="9"/>
      <c r="K32" s="9"/>
      <c r="L32" s="11"/>
    </row>
    <row r="33">
      <c r="A33" s="3">
        <f t="shared" si="1"/>
        <v>31</v>
      </c>
      <c r="B33" s="12"/>
      <c r="C33" s="12"/>
      <c r="D33" s="4"/>
      <c r="E33" s="13"/>
      <c r="F33" s="9"/>
      <c r="G33" s="10"/>
      <c r="H33" s="10"/>
      <c r="I33" s="8"/>
      <c r="J33" s="9"/>
      <c r="K33" s="9"/>
      <c r="L33" s="11"/>
    </row>
    <row r="34">
      <c r="A34" s="3">
        <f t="shared" si="1"/>
        <v>32</v>
      </c>
      <c r="B34" s="12"/>
      <c r="C34" s="15"/>
      <c r="D34" s="15"/>
      <c r="E34" s="13"/>
      <c r="F34" s="9"/>
      <c r="G34" s="10"/>
      <c r="H34" s="10"/>
      <c r="I34" s="8"/>
      <c r="J34" s="9"/>
      <c r="K34" s="9"/>
      <c r="L34" s="11"/>
    </row>
    <row r="35">
      <c r="A35" s="3">
        <f t="shared" si="1"/>
        <v>33</v>
      </c>
      <c r="B35" s="12"/>
      <c r="C35" s="4" t="s">
        <v>70</v>
      </c>
      <c r="D35" s="4"/>
      <c r="E35" s="13"/>
      <c r="F35" s="10"/>
      <c r="G35" s="10"/>
      <c r="H35" s="10"/>
      <c r="I35" s="8"/>
      <c r="J35" s="9"/>
      <c r="K35" s="9"/>
      <c r="L35" s="11"/>
    </row>
    <row r="36">
      <c r="A36" s="3">
        <f t="shared" si="1"/>
        <v>34</v>
      </c>
      <c r="B36" s="12"/>
      <c r="C36" s="12"/>
      <c r="D36" s="12"/>
      <c r="E36" s="13"/>
      <c r="F36" s="9"/>
      <c r="G36" s="10"/>
      <c r="H36" s="10"/>
      <c r="I36" s="8"/>
      <c r="J36" s="9"/>
      <c r="K36" s="9"/>
      <c r="L36" s="11"/>
    </row>
    <row r="37">
      <c r="A37" s="3">
        <f t="shared" si="1"/>
        <v>35</v>
      </c>
      <c r="B37" s="12"/>
      <c r="C37" s="12"/>
      <c r="D37" s="12"/>
      <c r="E37" s="13"/>
      <c r="F37" s="9"/>
      <c r="G37" s="10"/>
      <c r="H37" s="10"/>
      <c r="I37" s="8"/>
      <c r="J37" s="9"/>
      <c r="K37" s="9"/>
      <c r="L37" s="11"/>
    </row>
    <row r="38">
      <c r="A38" s="3">
        <f t="shared" si="1"/>
        <v>36</v>
      </c>
      <c r="B38" s="12"/>
      <c r="C38" s="12"/>
      <c r="D38" s="15"/>
      <c r="E38" s="13"/>
      <c r="F38" s="9"/>
      <c r="G38" s="10"/>
      <c r="H38" s="10"/>
      <c r="I38" s="8"/>
      <c r="J38" s="9"/>
      <c r="K38" s="9"/>
      <c r="L38" s="11"/>
    </row>
    <row r="39">
      <c r="A39" s="3">
        <f t="shared" si="1"/>
        <v>37</v>
      </c>
      <c r="B39" s="12"/>
      <c r="C39" s="12"/>
      <c r="D39" s="3"/>
      <c r="E39" s="13"/>
      <c r="F39" s="10"/>
      <c r="G39" s="10"/>
      <c r="H39" s="10"/>
      <c r="I39" s="8"/>
      <c r="J39" s="9"/>
      <c r="K39" s="9"/>
      <c r="L39" s="11"/>
    </row>
    <row r="40">
      <c r="A40" s="3">
        <f t="shared" si="1"/>
        <v>38</v>
      </c>
      <c r="B40" s="12"/>
      <c r="C40" s="12"/>
      <c r="D40" s="4"/>
      <c r="E40" s="24"/>
      <c r="F40" s="10"/>
      <c r="G40" s="10"/>
      <c r="H40" s="10"/>
      <c r="I40" s="8"/>
      <c r="J40" s="9"/>
      <c r="K40" s="9"/>
      <c r="L40" s="11"/>
    </row>
    <row r="41">
      <c r="A41" s="3">
        <f t="shared" si="1"/>
        <v>39</v>
      </c>
      <c r="B41" s="12"/>
      <c r="C41" s="12"/>
      <c r="D41" s="15"/>
      <c r="E41" s="15"/>
      <c r="F41" s="10"/>
      <c r="G41" s="10"/>
      <c r="H41" s="10"/>
      <c r="I41" s="8"/>
      <c r="J41" s="9"/>
      <c r="K41" s="9"/>
      <c r="L41" s="11"/>
    </row>
    <row r="42">
      <c r="A42" s="3">
        <f t="shared" si="1"/>
        <v>40</v>
      </c>
      <c r="B42" s="12"/>
      <c r="C42" s="12"/>
      <c r="D42" s="3"/>
      <c r="E42" s="13"/>
      <c r="F42" s="9"/>
      <c r="G42" s="10"/>
      <c r="H42" s="10"/>
      <c r="I42" s="8"/>
      <c r="J42" s="9"/>
      <c r="K42" s="9"/>
      <c r="L42" s="11"/>
    </row>
    <row r="43">
      <c r="A43" s="3">
        <f t="shared" si="1"/>
        <v>41</v>
      </c>
      <c r="B43" s="12"/>
      <c r="C43" s="12"/>
      <c r="D43" s="3"/>
      <c r="E43" s="13"/>
      <c r="F43" s="9"/>
      <c r="G43" s="10"/>
      <c r="H43" s="10"/>
      <c r="I43" s="8"/>
      <c r="J43" s="9"/>
      <c r="K43" s="9"/>
      <c r="L43" s="11"/>
    </row>
    <row r="44">
      <c r="A44" s="3">
        <f t="shared" si="1"/>
        <v>42</v>
      </c>
      <c r="B44" s="15"/>
      <c r="C44" s="15"/>
      <c r="D44" s="3"/>
      <c r="E44" s="13"/>
      <c r="F44" s="10"/>
      <c r="G44" s="10"/>
      <c r="H44" s="10"/>
      <c r="I44" s="8"/>
      <c r="J44" s="9"/>
      <c r="K44" s="9"/>
      <c r="L44" s="11"/>
    </row>
  </sheetData>
  <mergeCells count="19">
    <mergeCell ref="D16:D19"/>
    <mergeCell ref="D20:D21"/>
    <mergeCell ref="B8:B28"/>
    <mergeCell ref="B29:B44"/>
    <mergeCell ref="C29:C34"/>
    <mergeCell ref="D29:D30"/>
    <mergeCell ref="D31:D32"/>
    <mergeCell ref="D33:D34"/>
    <mergeCell ref="C35:C44"/>
    <mergeCell ref="D35:D38"/>
    <mergeCell ref="D40:D41"/>
    <mergeCell ref="E40:E41"/>
    <mergeCell ref="B2:B7"/>
    <mergeCell ref="C3:C7"/>
    <mergeCell ref="D3:D4"/>
    <mergeCell ref="D5:D6"/>
    <mergeCell ref="C8:C24"/>
    <mergeCell ref="D9:D15"/>
    <mergeCell ref="C25:C28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71</v>
      </c>
      <c r="B1" s="26"/>
      <c r="C1" s="26"/>
      <c r="D1" s="26"/>
      <c r="E1" s="26"/>
      <c r="F1" s="26"/>
      <c r="G1" s="26"/>
      <c r="H1" s="26"/>
      <c r="I1" s="26"/>
      <c r="J1" s="26"/>
    </row>
    <row r="2">
      <c r="A2" s="27" t="s">
        <v>72</v>
      </c>
      <c r="B2" s="27" t="s">
        <v>73</v>
      </c>
      <c r="C2" s="27" t="s">
        <v>74</v>
      </c>
      <c r="D2" s="27" t="s">
        <v>17</v>
      </c>
      <c r="E2" s="27" t="s">
        <v>19</v>
      </c>
      <c r="F2" s="27" t="s">
        <v>23</v>
      </c>
      <c r="G2" s="27" t="s">
        <v>21</v>
      </c>
      <c r="H2" s="27" t="s">
        <v>25</v>
      </c>
      <c r="I2" s="27" t="s">
        <v>75</v>
      </c>
      <c r="J2" s="27" t="s">
        <v>76</v>
      </c>
    </row>
    <row r="3">
      <c r="A3" s="28" t="s">
        <v>11</v>
      </c>
      <c r="B3" s="29">
        <f>COUNTIF(TestCase!L:L,A3)</f>
        <v>6</v>
      </c>
      <c r="C3" s="30">
        <f t="shared" ref="C3:C5" si="2">IFERROR(B3/$B$6,0)</f>
        <v>0.2857142857</v>
      </c>
      <c r="D3" s="29">
        <f t="shared" ref="D3:I3" si="1">COUNTIFS(TestCase!$I:$I,"*"&amp;D$2&amp;"*",TestCase!$L:$L,$A3)</f>
        <v>0</v>
      </c>
      <c r="E3" s="29">
        <f t="shared" si="1"/>
        <v>0</v>
      </c>
      <c r="F3" s="29">
        <f t="shared" si="1"/>
        <v>0</v>
      </c>
      <c r="G3" s="29">
        <f t="shared" si="1"/>
        <v>0</v>
      </c>
      <c r="H3" s="29">
        <f t="shared" si="1"/>
        <v>0</v>
      </c>
      <c r="I3" s="29">
        <f t="shared" si="1"/>
        <v>0</v>
      </c>
      <c r="J3" s="31">
        <f t="shared" ref="J3:J5" si="4">I3/B3</f>
        <v>0</v>
      </c>
    </row>
    <row r="4">
      <c r="A4" s="28" t="s">
        <v>27</v>
      </c>
      <c r="B4" s="29">
        <f>COUNTIF(TestCase!L:L,A4)</f>
        <v>15</v>
      </c>
      <c r="C4" s="30">
        <f t="shared" si="2"/>
        <v>0.7142857143</v>
      </c>
      <c r="D4" s="29">
        <f t="shared" ref="D4:H4" si="3">COUNTIFS(TestCase!$I:$I,"*"&amp;D$2&amp;"*",TestCase!$L:$L,$A4)</f>
        <v>0</v>
      </c>
      <c r="E4" s="29">
        <f t="shared" si="3"/>
        <v>0</v>
      </c>
      <c r="F4" s="29">
        <f t="shared" si="3"/>
        <v>0</v>
      </c>
      <c r="G4" s="29">
        <f t="shared" si="3"/>
        <v>0</v>
      </c>
      <c r="H4" s="29">
        <f t="shared" si="3"/>
        <v>0</v>
      </c>
      <c r="I4" s="32">
        <f t="shared" ref="I4:I5" si="6">SUM(D4:H4)</f>
        <v>0</v>
      </c>
      <c r="J4" s="31">
        <f t="shared" si="4"/>
        <v>0</v>
      </c>
    </row>
    <row r="5">
      <c r="A5" s="28" t="s">
        <v>68</v>
      </c>
      <c r="B5" s="29">
        <f>COUNTIF(TestCase!L:L,A5)</f>
        <v>0</v>
      </c>
      <c r="C5" s="30">
        <f t="shared" si="2"/>
        <v>0</v>
      </c>
      <c r="D5" s="29">
        <f t="shared" ref="D5:H5" si="5">COUNTIFS(TestCase!$I:$I,"*"&amp;D$2&amp;"*",TestCase!$L:$L,$A5)</f>
        <v>0</v>
      </c>
      <c r="E5" s="29">
        <f t="shared" si="5"/>
        <v>0</v>
      </c>
      <c r="F5" s="29">
        <f t="shared" si="5"/>
        <v>0</v>
      </c>
      <c r="G5" s="29">
        <f t="shared" si="5"/>
        <v>0</v>
      </c>
      <c r="H5" s="29">
        <f t="shared" si="5"/>
        <v>0</v>
      </c>
      <c r="I5" s="32">
        <f t="shared" si="6"/>
        <v>0</v>
      </c>
      <c r="J5" s="31" t="str">
        <f t="shared" si="4"/>
        <v>#DIV/0!</v>
      </c>
    </row>
    <row r="6">
      <c r="A6" s="33" t="s">
        <v>75</v>
      </c>
      <c r="B6" s="34">
        <f t="shared" ref="B6:I6" si="7">SUM(B3:B5)</f>
        <v>21</v>
      </c>
      <c r="C6" s="35">
        <f t="shared" si="7"/>
        <v>1</v>
      </c>
      <c r="D6" s="32">
        <f t="shared" si="7"/>
        <v>0</v>
      </c>
      <c r="E6" s="32">
        <f t="shared" si="7"/>
        <v>0</v>
      </c>
      <c r="F6" s="32">
        <f t="shared" si="7"/>
        <v>0</v>
      </c>
      <c r="G6" s="32">
        <f t="shared" si="7"/>
        <v>0</v>
      </c>
      <c r="H6" s="32">
        <f t="shared" si="7"/>
        <v>0</v>
      </c>
      <c r="I6" s="32">
        <f t="shared" si="7"/>
        <v>0</v>
      </c>
      <c r="J6" s="36"/>
    </row>
    <row r="7">
      <c r="A7" s="33" t="s">
        <v>76</v>
      </c>
      <c r="B7" s="37"/>
      <c r="C7" s="37"/>
      <c r="D7" s="31">
        <f t="shared" ref="D7:I7" si="8">D6/$B6</f>
        <v>0</v>
      </c>
      <c r="E7" s="31">
        <f t="shared" si="8"/>
        <v>0</v>
      </c>
      <c r="F7" s="31">
        <f t="shared" si="8"/>
        <v>0</v>
      </c>
      <c r="G7" s="31">
        <f t="shared" si="8"/>
        <v>0</v>
      </c>
      <c r="H7" s="31">
        <f t="shared" si="8"/>
        <v>0</v>
      </c>
      <c r="I7" s="31">
        <f t="shared" si="8"/>
        <v>0</v>
      </c>
      <c r="J7" s="36"/>
    </row>
  </sheetData>
  <drawing r:id="rId1"/>
</worksheet>
</file>